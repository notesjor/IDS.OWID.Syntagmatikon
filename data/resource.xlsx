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D12" i="1"/>
  <c r="G12" i="1"/>
  <c r="I12" i="1"/>
  <c r="I2" i="1"/>
  <c r="I3" i="1"/>
  <c r="I4" i="1"/>
  <c r="I5" i="1"/>
  <c r="I6" i="1"/>
  <c r="I7" i="1"/>
  <c r="I8" i="1"/>
  <c r="I9" i="1"/>
  <c r="I10" i="1"/>
  <c r="I11" i="1"/>
  <c r="I13" i="1"/>
  <c r="I14" i="1"/>
  <c r="I15" i="1"/>
  <c r="G3" i="1"/>
  <c r="G4" i="1"/>
  <c r="G5" i="1"/>
  <c r="G6" i="1"/>
  <c r="G7" i="1"/>
  <c r="G8" i="1"/>
  <c r="G9" i="1"/>
  <c r="G10" i="1"/>
  <c r="G11" i="1"/>
  <c r="G13" i="1"/>
  <c r="G14" i="1"/>
  <c r="G15" i="1"/>
  <c r="G2" i="1"/>
  <c r="D3" i="1"/>
  <c r="D4" i="1"/>
  <c r="D5" i="1"/>
  <c r="D6" i="1"/>
  <c r="D7" i="1"/>
  <c r="D8" i="1"/>
  <c r="D9" i="1"/>
  <c r="D10" i="1"/>
  <c r="D11" i="1"/>
  <c r="D13" i="1"/>
  <c r="D14" i="1"/>
  <c r="D15" i="1"/>
  <c r="B3" i="1"/>
  <c r="B4" i="1"/>
  <c r="B5" i="1"/>
  <c r="B6" i="1"/>
  <c r="B7" i="1"/>
  <c r="B8" i="1"/>
  <c r="B9" i="1"/>
  <c r="B10" i="1"/>
  <c r="B11" i="1"/>
  <c r="B13" i="1"/>
  <c r="B14" i="1"/>
  <c r="B15" i="1"/>
  <c r="D2" i="1"/>
  <c r="B2" i="1"/>
</calcChain>
</file>

<file path=xl/sharedStrings.xml><?xml version="1.0" encoding="utf-8"?>
<sst xmlns="http://schemas.openxmlformats.org/spreadsheetml/2006/main" count="79" uniqueCount="70">
  <si>
    <t>Name</t>
  </si>
  <si>
    <t>CODE</t>
  </si>
  <si>
    <t>KoMuX</t>
  </si>
  <si>
    <t>komux</t>
  </si>
  <si>
    <t>PREPCON (explorativ)</t>
  </si>
  <si>
    <t>preexp</t>
  </si>
  <si>
    <t>MAP</t>
  </si>
  <si>
    <t>map</t>
  </si>
  <si>
    <t>Wörterbuch Redeeinleiter</t>
  </si>
  <si>
    <t>PhK-Liste</t>
  </si>
  <si>
    <t>SpruchList</t>
  </si>
  <si>
    <t>DTWW</t>
  </si>
  <si>
    <t>DRI online</t>
  </si>
  <si>
    <t>Sprichwörterbuch</t>
  </si>
  <si>
    <t>Wörterbuch der Verlaufsformen</t>
  </si>
  <si>
    <t>Feste Wortverbindungen</t>
  </si>
  <si>
    <t>wbre</t>
  </si>
  <si>
    <t>phkl</t>
  </si>
  <si>
    <t>pretem</t>
  </si>
  <si>
    <t>PREPCON (temporal)</t>
  </si>
  <si>
    <t>dtww</t>
  </si>
  <si>
    <t>sprwoe</t>
  </si>
  <si>
    <t>verlfr</t>
  </si>
  <si>
    <t>festwb</t>
  </si>
  <si>
    <t>PREPCON (kontrastiv)</t>
  </si>
  <si>
    <t>prekon</t>
  </si>
  <si>
    <t>drio</t>
  </si>
  <si>
    <t>Varietäten Kontakt</t>
  </si>
  <si>
    <t>?CODE</t>
  </si>
  <si>
    <t>?Name</t>
  </si>
  <si>
    <t>varkon</t>
  </si>
  <si>
    <t>Headline</t>
  </si>
  <si>
    <t>?Headline</t>
  </si>
  <si>
    <t>Durchsuche mehr als 50.000 Komposita</t>
  </si>
  <si>
    <t>Präpositionale Wortverbindungen in unterschiedlichen Beschreibungstiefen</t>
  </si>
  <si>
    <t>Musterbank Argumentmarkierender Präpositionen</t>
  </si>
  <si>
    <t>Inventar von 523 direkten und indirekten Rede- und Gedankeneinleitern</t>
  </si>
  <si>
    <t>Liste mit Phrasenkomposita</t>
  </si>
  <si>
    <t>Online-Wörterbuch mit deutsch-russischen Idiomen</t>
  </si>
  <si>
    <t>Sammlung fester deutsch-türkischer Wortverbindungen und Einwortphraseologismen aus der Domäne Wirtschaft</t>
  </si>
  <si>
    <t>Wörterbuch mit feststehenden Wortverbindungen im Deutschen</t>
  </si>
  <si>
    <t>Pilotstudie zu Präposition-Nomen-Verbindungen sowie ihren Entsprechungen im Spanischen und Slowakischen</t>
  </si>
  <si>
    <t>Datenbank zu Temporale Präposition-Nomen-Verbindungen</t>
  </si>
  <si>
    <t>Kleines Wörterbuch der Verlaufsformen im Deutschen</t>
  </si>
  <si>
    <t>Lorem Ipsum dolore sit amet denialis komplex</t>
  </si>
  <si>
    <t>Keywords</t>
  </si>
  <si>
    <t>?Keywords</t>
  </si>
  <si>
    <t>Wörterbuch, Russisch, Idiome</t>
  </si>
  <si>
    <t>Wörterbuch, Wortverbindungen, Phrasen</t>
  </si>
  <si>
    <t>Wortverbindungen, Wörterbuch</t>
  </si>
  <si>
    <t>Komposita, Datenbank, Explorativ</t>
  </si>
  <si>
    <t>Präpositionen, Datenbank, Muster</t>
  </si>
  <si>
    <t>Phrasen, Komposita, Liste</t>
  </si>
  <si>
    <t>Wortverbindungen, Wörterbuch, Präpositionen</t>
  </si>
  <si>
    <t>Pilotstudie, Präpositionen, Nomen, Wortverbindungen</t>
  </si>
  <si>
    <t>Datenbank, Wortverbindungen, Nomen, Präpositionen</t>
  </si>
  <si>
    <t>Sammlung, Sprichwörter, Redewendungen</t>
  </si>
  <si>
    <t>Fremdsprachlich, Wörtebuch, Kontakt</t>
  </si>
  <si>
    <t>Wörterbuch, Verlaufsformen, Pilotstudie</t>
  </si>
  <si>
    <t>Inventar, Redeeinleiter, Gedankeneinleiter</t>
  </si>
  <si>
    <t>CATEGORY</t>
  </si>
  <si>
    <t>dbex</t>
  </si>
  <si>
    <t>dbdes</t>
  </si>
  <si>
    <t>sprlis</t>
  </si>
  <si>
    <t>Liste mit Sprichwörtern</t>
  </si>
  <si>
    <t>Wörterbuch zu Sprichwörtern und Redewendungen</t>
  </si>
  <si>
    <t>owid</t>
  </si>
  <si>
    <t>kopra</t>
  </si>
  <si>
    <t>invs</t>
  </si>
  <si>
    <t>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</si>
</sst>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/>
  </cellXfs>
  <cellStyles count="1">
    <cellStyle name="Standard" xfId="0" builtinId="0"/>
  </cellStyles>
  <dxfs count="24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0" formatCode="General"/>
    </dxf>
    <dxf>
      <protection locked="0" hidden="0"/>
    </dxf>
    <dxf>
      <numFmt numFmtId="0" formatCode="General"/>
    </dxf>
    <dxf>
      <protection locked="0" hidden="0"/>
    </dxf>
    <dxf>
      <protection locked="0" hidden="0"/>
    </dxf>
    <dxf>
      <numFmt numFmtId="0" formatCode="General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I15" totalsRowShown="0">
  <autoFilter ref="A1:I15"/>
  <sortState ref="A2:I15">
    <sortCondition ref="A1:A15"/>
  </sortState>
  <tableColumns count="9">
    <tableColumn id="1" name="Name" dataDxfId="23"/>
    <tableColumn id="2" name="?Name">
      <calculatedColumnFormula>LEN(A2)&lt;30</calculatedColumnFormula>
    </tableColumn>
    <tableColumn id="3" name="CODE" dataDxfId="22"/>
    <tableColumn id="4" name="?CODE" dataDxfId="21">
      <calculatedColumnFormula>AND(LEN(Tabelle1[[#This Row],[CODE]])&gt;2, LEN(Tabelle1[[#This Row],[CODE]])&lt;7)</calculatedColumnFormula>
    </tableColumn>
    <tableColumn id="9" name="CATEGORY" dataDxfId="20"/>
    <tableColumn id="5" name="Headline" dataDxfId="19"/>
    <tableColumn id="6" name="?Headline" dataDxfId="18">
      <calculatedColumnFormula>AND(LEN(Tabelle1[[#This Row],[Headline]]) &gt; 20, LEN(Tabelle1[[#This Row],[Headline]]) &lt; 110)</calculatedColumnFormula>
    </tableColumn>
    <tableColumn id="7" name="Keywords" dataDxfId="17"/>
    <tableColumn id="8" name="?Keywords" dataDxfId="16">
      <calculatedColumnFormula>LEN(Tabelle1[[#This Row],[Keywords]])-LEN(SUBSTITUTE(Tabelle1[[#This Row],[Keywords]],",",""))+IF(LEN(Tabelle1[[#This Row],[Keywords]])&gt;1, 1, 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E17" sqref="E17"/>
    </sheetView>
  </sheetViews>
  <sheetFormatPr baseColWidth="10" defaultColWidth="8.88671875" defaultRowHeight="14.4" x14ac:dyDescent="0.3"/>
  <cols>
    <col min="1" max="1" width="27.33203125" style="1" bestFit="1" customWidth="1"/>
    <col min="2" max="2" width="9.109375" bestFit="1" customWidth="1"/>
    <col min="3" max="3" width="8.88671875" style="1"/>
    <col min="5" max="5" width="12.21875" style="1" bestFit="1" customWidth="1"/>
    <col min="6" max="6" width="97.77734375" style="1" customWidth="1"/>
    <col min="7" max="7" width="11.44140625" bestFit="1" customWidth="1"/>
    <col min="8" max="8" width="35.88671875" style="1" customWidth="1"/>
    <col min="9" max="9" width="12.33203125" bestFit="1" customWidth="1"/>
  </cols>
  <sheetData>
    <row r="1" spans="1:9" x14ac:dyDescent="0.3">
      <c r="A1" s="1" t="s">
        <v>0</v>
      </c>
      <c r="B1" t="s">
        <v>29</v>
      </c>
      <c r="C1" s="1" t="s">
        <v>1</v>
      </c>
      <c r="D1" t="s">
        <v>28</v>
      </c>
      <c r="E1" s="1" t="s">
        <v>60</v>
      </c>
      <c r="F1" s="1" t="s">
        <v>31</v>
      </c>
      <c r="G1" t="s">
        <v>32</v>
      </c>
      <c r="H1" s="1" t="s">
        <v>45</v>
      </c>
      <c r="I1" t="s">
        <v>46</v>
      </c>
    </row>
    <row r="2" spans="1:9" x14ac:dyDescent="0.3">
      <c r="A2" s="1" t="s">
        <v>12</v>
      </c>
      <c r="B2" t="b">
        <f>LEN(A2)&lt;30</f>
        <v>1</v>
      </c>
      <c r="C2" s="1" t="s">
        <v>26</v>
      </c>
      <c r="D2" t="b">
        <f>AND(LEN(Tabelle1[[#This Row],[CODE]])&gt;2, LEN(Tabelle1[[#This Row],[CODE]])&lt;7)</f>
        <v>1</v>
      </c>
      <c r="E2" s="1" t="s">
        <v>69</v>
      </c>
      <c r="F2" s="1" t="s">
        <v>38</v>
      </c>
      <c r="G2" t="b">
        <f>AND(LEN(Tabelle1[[#This Row],[Headline]]) &gt; 20, LEN(Tabelle1[[#This Row],[Headline]]) &lt; 110)</f>
        <v>1</v>
      </c>
      <c r="H2" s="1" t="s">
        <v>47</v>
      </c>
      <c r="I2">
        <f>LEN(Tabelle1[[#This Row],[Keywords]])-LEN(SUBSTITUTE(Tabelle1[[#This Row],[Keywords]],",",""))+IF(LEN(Tabelle1[[#This Row],[Keywords]])&gt;1, 1, 0)</f>
        <v>3</v>
      </c>
    </row>
    <row r="3" spans="1:9" x14ac:dyDescent="0.3">
      <c r="A3" s="1" t="s">
        <v>11</v>
      </c>
      <c r="B3" t="b">
        <f>LEN(A3)&lt;30</f>
        <v>1</v>
      </c>
      <c r="C3" s="1" t="s">
        <v>20</v>
      </c>
      <c r="D3" t="b">
        <f>AND(LEN(Tabelle1[[#This Row],[CODE]])&gt;2, LEN(Tabelle1[[#This Row],[CODE]])&lt;7)</f>
        <v>1</v>
      </c>
      <c r="E3" s="1" t="s">
        <v>68</v>
      </c>
      <c r="F3" s="1" t="s">
        <v>39</v>
      </c>
      <c r="G3" t="b">
        <f>AND(LEN(Tabelle1[[#This Row],[Headline]]) &gt; 20, LEN(Tabelle1[[#This Row],[Headline]]) &lt; 110)</f>
        <v>1</v>
      </c>
      <c r="H3" s="1" t="s">
        <v>48</v>
      </c>
      <c r="I3">
        <f>LEN(Tabelle1[[#This Row],[Keywords]])-LEN(SUBSTITUTE(Tabelle1[[#This Row],[Keywords]],",",""))+IF(LEN(Tabelle1[[#This Row],[Keywords]])&gt;1, 1, 0)</f>
        <v>3</v>
      </c>
    </row>
    <row r="4" spans="1:9" x14ac:dyDescent="0.3">
      <c r="A4" s="1" t="s">
        <v>15</v>
      </c>
      <c r="B4" t="b">
        <f>LEN(A4)&lt;30</f>
        <v>1</v>
      </c>
      <c r="C4" s="1" t="s">
        <v>23</v>
      </c>
      <c r="D4" t="b">
        <f>AND(LEN(Tabelle1[[#This Row],[CODE]])&gt;2, LEN(Tabelle1[[#This Row],[CODE]])&lt;7)</f>
        <v>1</v>
      </c>
      <c r="E4" s="1" t="s">
        <v>66</v>
      </c>
      <c r="F4" s="1" t="s">
        <v>40</v>
      </c>
      <c r="G4" t="b">
        <f>AND(LEN(Tabelle1[[#This Row],[Headline]]) &gt; 20, LEN(Tabelle1[[#This Row],[Headline]]) &lt; 110)</f>
        <v>1</v>
      </c>
      <c r="H4" s="1" t="s">
        <v>49</v>
      </c>
      <c r="I4">
        <f>LEN(Tabelle1[[#This Row],[Keywords]])-LEN(SUBSTITUTE(Tabelle1[[#This Row],[Keywords]],",",""))+IF(LEN(Tabelle1[[#This Row],[Keywords]])&gt;1, 1, 0)</f>
        <v>2</v>
      </c>
    </row>
    <row r="5" spans="1:9" x14ac:dyDescent="0.3">
      <c r="A5" s="1" t="s">
        <v>2</v>
      </c>
      <c r="B5" t="b">
        <f>LEN(A5)&lt;30</f>
        <v>1</v>
      </c>
      <c r="C5" s="1" t="s">
        <v>3</v>
      </c>
      <c r="D5" t="b">
        <f>AND(LEN(Tabelle1[[#This Row],[CODE]])&gt;2, LEN(Tabelle1[[#This Row],[CODE]])&lt;7)</f>
        <v>1</v>
      </c>
      <c r="E5" s="1" t="s">
        <v>61</v>
      </c>
      <c r="F5" s="1" t="s">
        <v>33</v>
      </c>
      <c r="G5" t="b">
        <f>AND(LEN(Tabelle1[[#This Row],[Headline]]) &gt; 20, LEN(Tabelle1[[#This Row],[Headline]]) &lt; 110)</f>
        <v>1</v>
      </c>
      <c r="H5" s="1" t="s">
        <v>50</v>
      </c>
      <c r="I5">
        <f>LEN(Tabelle1[[#This Row],[Keywords]])-LEN(SUBSTITUTE(Tabelle1[[#This Row],[Keywords]],",",""))+IF(LEN(Tabelle1[[#This Row],[Keywords]])&gt;1, 1, 0)</f>
        <v>3</v>
      </c>
    </row>
    <row r="6" spans="1:9" x14ac:dyDescent="0.3">
      <c r="A6" s="1" t="s">
        <v>6</v>
      </c>
      <c r="B6" t="b">
        <f>LEN(A6)&lt;30</f>
        <v>1</v>
      </c>
      <c r="C6" s="1" t="s">
        <v>7</v>
      </c>
      <c r="D6" t="b">
        <f>AND(LEN(Tabelle1[[#This Row],[CODE]])&gt;2, LEN(Tabelle1[[#This Row],[CODE]])&lt;7)</f>
        <v>1</v>
      </c>
      <c r="E6" s="1" t="s">
        <v>62</v>
      </c>
      <c r="F6" s="1" t="s">
        <v>35</v>
      </c>
      <c r="G6" t="b">
        <f>AND(LEN(Tabelle1[[#This Row],[Headline]]) &gt; 20, LEN(Tabelle1[[#This Row],[Headline]]) &lt; 110)</f>
        <v>1</v>
      </c>
      <c r="H6" s="1" t="s">
        <v>51</v>
      </c>
      <c r="I6">
        <f>LEN(Tabelle1[[#This Row],[Keywords]])-LEN(SUBSTITUTE(Tabelle1[[#This Row],[Keywords]],",",""))+IF(LEN(Tabelle1[[#This Row],[Keywords]])&gt;1, 1, 0)</f>
        <v>3</v>
      </c>
    </row>
    <row r="7" spans="1:9" x14ac:dyDescent="0.3">
      <c r="A7" s="1" t="s">
        <v>9</v>
      </c>
      <c r="B7" t="b">
        <f>LEN(A7)&lt;30</f>
        <v>1</v>
      </c>
      <c r="C7" s="1" t="s">
        <v>17</v>
      </c>
      <c r="D7" t="b">
        <f>AND(LEN(Tabelle1[[#This Row],[CODE]])&gt;2, LEN(Tabelle1[[#This Row],[CODE]])&lt;7)</f>
        <v>1</v>
      </c>
      <c r="E7" s="1" t="s">
        <v>68</v>
      </c>
      <c r="F7" s="1" t="s">
        <v>37</v>
      </c>
      <c r="G7" t="b">
        <f>AND(LEN(Tabelle1[[#This Row],[Headline]]) &gt; 20, LEN(Tabelle1[[#This Row],[Headline]]) &lt; 110)</f>
        <v>1</v>
      </c>
      <c r="H7" s="1" t="s">
        <v>52</v>
      </c>
      <c r="I7">
        <f>LEN(Tabelle1[[#This Row],[Keywords]])-LEN(SUBSTITUTE(Tabelle1[[#This Row],[Keywords]],",",""))+IF(LEN(Tabelle1[[#This Row],[Keywords]])&gt;1, 1, 0)</f>
        <v>3</v>
      </c>
    </row>
    <row r="8" spans="1:9" x14ac:dyDescent="0.3">
      <c r="A8" s="1" t="s">
        <v>4</v>
      </c>
      <c r="B8" t="b">
        <f>LEN(A8)&lt;30</f>
        <v>1</v>
      </c>
      <c r="C8" s="1" t="s">
        <v>5</v>
      </c>
      <c r="D8" t="b">
        <f>AND(LEN(Tabelle1[[#This Row],[CODE]])&gt;2, LEN(Tabelle1[[#This Row],[CODE]])&lt;7)</f>
        <v>1</v>
      </c>
      <c r="E8" s="1" t="s">
        <v>61</v>
      </c>
      <c r="F8" s="1" t="s">
        <v>34</v>
      </c>
      <c r="G8" t="b">
        <f>AND(LEN(Tabelle1[[#This Row],[Headline]]) &gt; 20, LEN(Tabelle1[[#This Row],[Headline]]) &lt; 110)</f>
        <v>1</v>
      </c>
      <c r="H8" s="1" t="s">
        <v>53</v>
      </c>
      <c r="I8">
        <f>LEN(Tabelle1[[#This Row],[Keywords]])-LEN(SUBSTITUTE(Tabelle1[[#This Row],[Keywords]],",",""))+IF(LEN(Tabelle1[[#This Row],[Keywords]])&gt;1, 1, 0)</f>
        <v>3</v>
      </c>
    </row>
    <row r="9" spans="1:9" x14ac:dyDescent="0.3">
      <c r="A9" s="1" t="s">
        <v>24</v>
      </c>
      <c r="B9" t="b">
        <f>LEN(A9)&lt;30</f>
        <v>1</v>
      </c>
      <c r="C9" s="1" t="s">
        <v>25</v>
      </c>
      <c r="D9" t="b">
        <f>AND(LEN(Tabelle1[[#This Row],[CODE]])&gt;2, LEN(Tabelle1[[#This Row],[CODE]])&lt;7)</f>
        <v>1</v>
      </c>
      <c r="E9" s="1" t="s">
        <v>67</v>
      </c>
      <c r="F9" s="1" t="s">
        <v>41</v>
      </c>
      <c r="G9" t="b">
        <f>AND(LEN(Tabelle1[[#This Row],[Headline]]) &gt; 20, LEN(Tabelle1[[#This Row],[Headline]]) &lt; 110)</f>
        <v>1</v>
      </c>
      <c r="H9" s="1" t="s">
        <v>54</v>
      </c>
      <c r="I9">
        <f>LEN(Tabelle1[[#This Row],[Keywords]])-LEN(SUBSTITUTE(Tabelle1[[#This Row],[Keywords]],",",""))+IF(LEN(Tabelle1[[#This Row],[Keywords]])&gt;1, 1, 0)</f>
        <v>4</v>
      </c>
    </row>
    <row r="10" spans="1:9" x14ac:dyDescent="0.3">
      <c r="A10" s="1" t="s">
        <v>19</v>
      </c>
      <c r="B10" t="b">
        <f>LEN(A10)&lt;30</f>
        <v>1</v>
      </c>
      <c r="C10" s="1" t="s">
        <v>18</v>
      </c>
      <c r="D10" t="b">
        <f>AND(LEN(Tabelle1[[#This Row],[CODE]])&gt;2, LEN(Tabelle1[[#This Row],[CODE]])&lt;7)</f>
        <v>1</v>
      </c>
      <c r="E10" s="1" t="s">
        <v>68</v>
      </c>
      <c r="F10" s="1" t="s">
        <v>42</v>
      </c>
      <c r="G10" t="b">
        <f>AND(LEN(Tabelle1[[#This Row],[Headline]]) &gt; 20, LEN(Tabelle1[[#This Row],[Headline]]) &lt; 110)</f>
        <v>1</v>
      </c>
      <c r="H10" s="1" t="s">
        <v>55</v>
      </c>
      <c r="I10">
        <f>LEN(Tabelle1[[#This Row],[Keywords]])-LEN(SUBSTITUTE(Tabelle1[[#This Row],[Keywords]],",",""))+IF(LEN(Tabelle1[[#This Row],[Keywords]])&gt;1, 1, 0)</f>
        <v>4</v>
      </c>
    </row>
    <row r="11" spans="1:9" x14ac:dyDescent="0.3">
      <c r="A11" s="1" t="s">
        <v>13</v>
      </c>
      <c r="B11" t="b">
        <f>LEN(A11)&lt;30</f>
        <v>1</v>
      </c>
      <c r="C11" s="1" t="s">
        <v>21</v>
      </c>
      <c r="D11" t="b">
        <f>AND(LEN(Tabelle1[[#This Row],[CODE]])&gt;2, LEN(Tabelle1[[#This Row],[CODE]])&lt;7)</f>
        <v>1</v>
      </c>
      <c r="E11" s="1" t="s">
        <v>66</v>
      </c>
      <c r="F11" s="1" t="s">
        <v>65</v>
      </c>
      <c r="G11" t="b">
        <f>AND(LEN(Tabelle1[[#This Row],[Headline]]) &gt; 20, LEN(Tabelle1[[#This Row],[Headline]]) &lt; 110)</f>
        <v>1</v>
      </c>
      <c r="H11" s="1" t="s">
        <v>56</v>
      </c>
      <c r="I11">
        <f>LEN(Tabelle1[[#This Row],[Keywords]])-LEN(SUBSTITUTE(Tabelle1[[#This Row],[Keywords]],",",""))+IF(LEN(Tabelle1[[#This Row],[Keywords]])&gt;1, 1, 0)</f>
        <v>3</v>
      </c>
    </row>
    <row r="12" spans="1:9" x14ac:dyDescent="0.3">
      <c r="A12" s="1" t="s">
        <v>10</v>
      </c>
      <c r="B12" t="b">
        <f>LEN(A12)&lt;30</f>
        <v>1</v>
      </c>
      <c r="C12" s="1" t="s">
        <v>63</v>
      </c>
      <c r="D12" s="2" t="b">
        <f>AND(LEN(Tabelle1[[#This Row],[CODE]])&gt;2, LEN(Tabelle1[[#This Row],[CODE]])&lt;7)</f>
        <v>1</v>
      </c>
      <c r="E12" s="1" t="s">
        <v>68</v>
      </c>
      <c r="F12" s="1" t="s">
        <v>64</v>
      </c>
      <c r="G12" s="2" t="b">
        <f>AND(LEN(Tabelle1[[#This Row],[Headline]]) &gt; 20, LEN(Tabelle1[[#This Row],[Headline]]) &lt; 110)</f>
        <v>1</v>
      </c>
      <c r="H12" s="1" t="s">
        <v>56</v>
      </c>
      <c r="I12" s="2">
        <f>LEN(Tabelle1[[#This Row],[Keywords]])-LEN(SUBSTITUTE(Tabelle1[[#This Row],[Keywords]],",",""))+IF(LEN(Tabelle1[[#This Row],[Keywords]])&gt;1, 1, 0)</f>
        <v>3</v>
      </c>
    </row>
    <row r="13" spans="1:9" x14ac:dyDescent="0.3">
      <c r="A13" s="1" t="s">
        <v>27</v>
      </c>
      <c r="B13" t="b">
        <f>LEN(A13)&lt;30</f>
        <v>1</v>
      </c>
      <c r="C13" s="1" t="s">
        <v>30</v>
      </c>
      <c r="D13" t="b">
        <f>AND(LEN(Tabelle1[[#This Row],[CODE]])&gt;2, LEN(Tabelle1[[#This Row],[CODE]])&lt;7)</f>
        <v>1</v>
      </c>
      <c r="E13" s="1" t="s">
        <v>69</v>
      </c>
      <c r="F13" s="1" t="s">
        <v>44</v>
      </c>
      <c r="G13" t="b">
        <f>AND(LEN(Tabelle1[[#This Row],[Headline]]) &gt; 20, LEN(Tabelle1[[#This Row],[Headline]]) &lt; 110)</f>
        <v>1</v>
      </c>
      <c r="H13" s="1" t="s">
        <v>57</v>
      </c>
      <c r="I13">
        <f>LEN(Tabelle1[[#This Row],[Keywords]])-LEN(SUBSTITUTE(Tabelle1[[#This Row],[Keywords]],",",""))+IF(LEN(Tabelle1[[#This Row],[Keywords]])&gt;1, 1, 0)</f>
        <v>3</v>
      </c>
    </row>
    <row r="14" spans="1:9" x14ac:dyDescent="0.3">
      <c r="A14" s="1" t="s">
        <v>14</v>
      </c>
      <c r="B14" t="b">
        <f>LEN(A14)&lt;30</f>
        <v>1</v>
      </c>
      <c r="C14" s="1" t="s">
        <v>22</v>
      </c>
      <c r="D14" t="b">
        <f>AND(LEN(Tabelle1[[#This Row],[CODE]])&gt;2, LEN(Tabelle1[[#This Row],[CODE]])&lt;7)</f>
        <v>1</v>
      </c>
      <c r="E14" s="1" t="s">
        <v>66</v>
      </c>
      <c r="F14" s="1" t="s">
        <v>43</v>
      </c>
      <c r="G14" t="b">
        <f>AND(LEN(Tabelle1[[#This Row],[Headline]]) &gt; 20, LEN(Tabelle1[[#This Row],[Headline]]) &lt; 110)</f>
        <v>1</v>
      </c>
      <c r="H14" s="1" t="s">
        <v>58</v>
      </c>
      <c r="I14">
        <f>LEN(Tabelle1[[#This Row],[Keywords]])-LEN(SUBSTITUTE(Tabelle1[[#This Row],[Keywords]],",",""))+IF(LEN(Tabelle1[[#This Row],[Keywords]])&gt;1, 1, 0)</f>
        <v>3</v>
      </c>
    </row>
    <row r="15" spans="1:9" x14ac:dyDescent="0.3">
      <c r="A15" s="1" t="s">
        <v>8</v>
      </c>
      <c r="B15" t="b">
        <f>LEN(A15)&lt;30</f>
        <v>1</v>
      </c>
      <c r="C15" s="1" t="s">
        <v>16</v>
      </c>
      <c r="D15" t="b">
        <f>AND(LEN(Tabelle1[[#This Row],[CODE]])&gt;2, LEN(Tabelle1[[#This Row],[CODE]])&lt;7)</f>
        <v>1</v>
      </c>
      <c r="E15" s="1" t="s">
        <v>69</v>
      </c>
      <c r="F15" s="1" t="s">
        <v>36</v>
      </c>
      <c r="G15" t="b">
        <f>AND(LEN(Tabelle1[[#This Row],[Headline]]) &gt; 20, LEN(Tabelle1[[#This Row],[Headline]]) &lt; 110)</f>
        <v>1</v>
      </c>
      <c r="H15" s="1" t="s">
        <v>59</v>
      </c>
      <c r="I15">
        <f>LEN(Tabelle1[[#This Row],[Keywords]])-LEN(SUBSTITUTE(Tabelle1[[#This Row],[Keywords]],",",""))+IF(LEN(Tabelle1[[#This Row],[Keywords]])&gt;1, 1, 0)</f>
        <v>3</v>
      </c>
    </row>
  </sheetData>
  <sheetProtection insertColumns="0" insertRows="0" deleteRows="0" sort="0" autoFilter="0" pivotTables="0"/>
  <conditionalFormatting sqref="B2:B15">
    <cfRule type="cellIs" dxfId="15" priority="8" operator="equal">
      <formula>FALSE</formula>
    </cfRule>
    <cfRule type="cellIs" dxfId="14" priority="9" operator="equal">
      <formula>TRUE</formula>
    </cfRule>
  </conditionalFormatting>
  <conditionalFormatting sqref="D2:D15">
    <cfRule type="cellIs" dxfId="13" priority="6" operator="equal">
      <formula>FALSE</formula>
    </cfRule>
    <cfRule type="cellIs" dxfId="12" priority="7" operator="equal">
      <formula>TRUE</formula>
    </cfRule>
  </conditionalFormatting>
  <conditionalFormatting sqref="G2:G15">
    <cfRule type="cellIs" dxfId="11" priority="4" operator="equal">
      <formula>FALSE</formula>
    </cfRule>
    <cfRule type="cellIs" dxfId="10" priority="5" operator="equal">
      <formula>TRUE</formula>
    </cfRule>
  </conditionalFormatting>
  <conditionalFormatting sqref="I2:I15">
    <cfRule type="cellIs" dxfId="9" priority="1" operator="greaterThan">
      <formula>1</formula>
    </cfRule>
    <cfRule type="cellIs" dxfId="8" priority="2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2023-12-29T14:05:35Z</dcterms:modified>
</cp:coreProperties>
</file>