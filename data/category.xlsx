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H2" i="1" l="1"/>
  <c r="H3" i="1"/>
  <c r="H4" i="1"/>
  <c r="H5" i="1"/>
  <c r="H6" i="1"/>
  <c r="H7" i="1"/>
  <c r="D3" i="1"/>
  <c r="D4" i="1"/>
  <c r="D5" i="1"/>
  <c r="D6" i="1"/>
  <c r="D7" i="1"/>
  <c r="B3" i="1"/>
  <c r="B4" i="1"/>
  <c r="B5" i="1"/>
  <c r="B6" i="1"/>
  <c r="B7" i="1"/>
  <c r="D2" i="1"/>
  <c r="B2" i="1"/>
</calcChain>
</file>

<file path=xl/sharedStrings.xml><?xml version="1.0" encoding="utf-8"?>
<sst xmlns="http://schemas.openxmlformats.org/spreadsheetml/2006/main" count="32" uniqueCount="32">
  <si>
    <t>Name</t>
  </si>
  <si>
    <t>CODE</t>
  </si>
  <si>
    <t>?CODE</t>
  </si>
  <si>
    <t>?Name</t>
  </si>
  <si>
    <t>Headline</t>
  </si>
  <si>
    <t>?Headline</t>
  </si>
  <si>
    <t>Keywords</t>
  </si>
  <si>
    <t>?Keywords</t>
  </si>
  <si>
    <t>dbex</t>
  </si>
  <si>
    <t>dbdes</t>
  </si>
  <si>
    <t>owid</t>
  </si>
  <si>
    <t>kopra</t>
  </si>
  <si>
    <t>pilot</t>
  </si>
  <si>
    <t>Explorative Datenbanken</t>
  </si>
  <si>
    <t>Deskriptive Datenbank</t>
  </si>
  <si>
    <t>Inventare und Sammlungen</t>
  </si>
  <si>
    <t>Online-Wörterbücher</t>
  </si>
  <si>
    <t>Präsentationsformate</t>
  </si>
  <si>
    <t>Pilot- und Einzelstudien</t>
  </si>
  <si>
    <t>inv</t>
  </si>
  <si>
    <t>Datenbanken mit Beschreibungen</t>
  </si>
  <si>
    <t>Datenbanken zum Entdecken</t>
  </si>
  <si>
    <t>Zum Nachschlagen und Durchsuchen</t>
  </si>
  <si>
    <t>Für den sprachwissenschaftlichen Gebrauch</t>
  </si>
  <si>
    <t>Experimentelle kleine Studien</t>
  </si>
  <si>
    <t>Analytisch und interessant</t>
  </si>
  <si>
    <t>explorativ, Datenbank</t>
  </si>
  <si>
    <t>deskriptiv, Datenbank</t>
  </si>
  <si>
    <t>Inventar/Sammlung, deskriptiv</t>
  </si>
  <si>
    <t>Wörterbuch, korpusbasiert</t>
  </si>
  <si>
    <t>korpusbasiert, analytisch, explorativ</t>
  </si>
  <si>
    <t>Pilot-/Einzelstudie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</si>
</sst>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Standard" xfId="0" builtinId="0"/>
  </cellStyles>
  <dxfs count="15">
    <dxf>
      <numFmt numFmtId="0" formatCode="General"/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numFmt numFmtId="0" formatCode="General"/>
    </dxf>
    <dxf>
      <protection locked="0" hidden="0"/>
    </dxf>
    <dxf>
      <protection locked="0" hidden="0"/>
    </dxf>
    <dxf>
      <numFmt numFmtId="0" formatCode="General"/>
    </dxf>
    <dxf>
      <protection locked="0" hidden="0"/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le1" displayName="Tabelle1" ref="A1:H7" totalsRowShown="0">
  <autoFilter ref="A1:H7"/>
  <sortState ref="A2:I15">
    <sortCondition ref="A1:A15"/>
  </sortState>
  <tableColumns count="8">
    <tableColumn id="1" name="Name" dataDxfId="14"/>
    <tableColumn id="2" name="?Name">
      <calculatedColumnFormula>LEN(A2)&lt;30</calculatedColumnFormula>
    </tableColumn>
    <tableColumn id="3" name="CODE" dataDxfId="13"/>
    <tableColumn id="4" name="?CODE" dataDxfId="12">
      <calculatedColumnFormula>AND(LEN(Tabelle1[[#This Row],[CODE]])&gt;2, LEN(Tabelle1[[#This Row],[CODE]])&lt;7)</calculatedColumnFormula>
    </tableColumn>
    <tableColumn id="5" name="Headline" dataDxfId="11"/>
    <tableColumn id="6" name="?Headline" dataDxfId="0">
      <calculatedColumnFormula>AND(LEN(Tabelle1[[#This Row],[Headline]]) &gt; 10, LEN(Tabelle1[[#This Row],[Headline]]) &lt; 33)</calculatedColumnFormula>
    </tableColumn>
    <tableColumn id="7" name="Keywords" dataDxfId="10"/>
    <tableColumn id="8" name="?Keywords" dataDxfId="9">
      <calculatedColumnFormula>LEN(Tabelle1[[#This Row],[Keywords]])-LEN(SUBSTITUTE(Tabelle1[[#This Row],[Keywords]],",",""))+IF(LEN(Tabelle1[[#This Row],[Keywords]])&gt;1, 1, 0)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E8" sqref="E8"/>
    </sheetView>
  </sheetViews>
  <sheetFormatPr baseColWidth="10" defaultColWidth="8.88671875" defaultRowHeight="14.4" x14ac:dyDescent="0.3"/>
  <cols>
    <col min="1" max="1" width="27.33203125" style="1" bestFit="1" customWidth="1"/>
    <col min="2" max="2" width="9.109375" bestFit="1" customWidth="1"/>
    <col min="3" max="3" width="8.88671875" style="1"/>
    <col min="5" max="5" width="46.77734375" style="1" customWidth="1"/>
    <col min="6" max="6" width="11.44140625" bestFit="1" customWidth="1"/>
    <col min="7" max="7" width="35.88671875" style="1" customWidth="1"/>
    <col min="8" max="8" width="12.33203125" bestFit="1" customWidth="1"/>
  </cols>
  <sheetData>
    <row r="1" spans="1:8" x14ac:dyDescent="0.3">
      <c r="A1" s="1" t="s">
        <v>0</v>
      </c>
      <c r="B1" t="s">
        <v>3</v>
      </c>
      <c r="C1" s="1" t="s">
        <v>1</v>
      </c>
      <c r="D1" t="s">
        <v>2</v>
      </c>
      <c r="E1" s="1" t="s">
        <v>4</v>
      </c>
      <c r="F1" t="s">
        <v>5</v>
      </c>
      <c r="G1" s="1" t="s">
        <v>6</v>
      </c>
      <c r="H1" t="s">
        <v>7</v>
      </c>
    </row>
    <row r="2" spans="1:8" x14ac:dyDescent="0.3">
      <c r="A2" s="1" t="s">
        <v>13</v>
      </c>
      <c r="B2" t="b">
        <f t="shared" ref="B2:B7" si="0">LEN(A2)&lt;30</f>
        <v>1</v>
      </c>
      <c r="C2" s="1" t="s">
        <v>8</v>
      </c>
      <c r="D2" t="b">
        <f>AND(LEN(Tabelle1[[#This Row],[CODE]])&gt;2, LEN(Tabelle1[[#This Row],[CODE]])&lt;7)</f>
        <v>1</v>
      </c>
      <c r="E2" s="1" t="s">
        <v>21</v>
      </c>
      <c r="F2" t="b">
        <f>AND(LEN(Tabelle1[[#This Row],[Headline]]) &gt; 10, LEN(Tabelle1[[#This Row],[Headline]]) &lt; 33)</f>
        <v>1</v>
      </c>
      <c r="G2" s="1" t="s">
        <v>26</v>
      </c>
      <c r="H2">
        <f>LEN(Tabelle1[[#This Row],[Keywords]])-LEN(SUBSTITUTE(Tabelle1[[#This Row],[Keywords]],",",""))+IF(LEN(Tabelle1[[#This Row],[Keywords]])&gt;1, 1, 0)</f>
        <v>2</v>
      </c>
    </row>
    <row r="3" spans="1:8" x14ac:dyDescent="0.3">
      <c r="A3" s="1" t="s">
        <v>14</v>
      </c>
      <c r="B3" t="b">
        <f t="shared" si="0"/>
        <v>1</v>
      </c>
      <c r="C3" s="1" t="s">
        <v>9</v>
      </c>
      <c r="D3" t="b">
        <f>AND(LEN(Tabelle1[[#This Row],[CODE]])&gt;2, LEN(Tabelle1[[#This Row],[CODE]])&lt;7)</f>
        <v>1</v>
      </c>
      <c r="E3" s="1" t="s">
        <v>20</v>
      </c>
      <c r="F3" t="b">
        <f>AND(LEN(Tabelle1[[#This Row],[Headline]]) &gt; 10, LEN(Tabelle1[[#This Row],[Headline]]) &lt; 33)</f>
        <v>1</v>
      </c>
      <c r="G3" s="1" t="s">
        <v>27</v>
      </c>
      <c r="H3">
        <f>LEN(Tabelle1[[#This Row],[Keywords]])-LEN(SUBSTITUTE(Tabelle1[[#This Row],[Keywords]],",",""))+IF(LEN(Tabelle1[[#This Row],[Keywords]])&gt;1, 1, 0)</f>
        <v>2</v>
      </c>
    </row>
    <row r="4" spans="1:8" x14ac:dyDescent="0.3">
      <c r="A4" s="1" t="s">
        <v>15</v>
      </c>
      <c r="B4" t="b">
        <f t="shared" si="0"/>
        <v>1</v>
      </c>
      <c r="C4" s="1" t="s">
        <v>19</v>
      </c>
      <c r="D4" t="b">
        <f>AND(LEN(Tabelle1[[#This Row],[CODE]])&gt;2, LEN(Tabelle1[[#This Row],[CODE]])&lt;7)</f>
        <v>1</v>
      </c>
      <c r="E4" s="1" t="s">
        <v>22</v>
      </c>
      <c r="F4" t="b">
        <f>AND(LEN(Tabelle1[[#This Row],[Headline]]) &gt; 10, LEN(Tabelle1[[#This Row],[Headline]]) &lt; 33)</f>
        <v>1</v>
      </c>
      <c r="G4" s="1" t="s">
        <v>28</v>
      </c>
      <c r="H4">
        <f>LEN(Tabelle1[[#This Row],[Keywords]])-LEN(SUBSTITUTE(Tabelle1[[#This Row],[Keywords]],",",""))+IF(LEN(Tabelle1[[#This Row],[Keywords]])&gt;1, 1, 0)</f>
        <v>2</v>
      </c>
    </row>
    <row r="5" spans="1:8" x14ac:dyDescent="0.3">
      <c r="A5" s="1" t="s">
        <v>16</v>
      </c>
      <c r="B5" t="b">
        <f t="shared" si="0"/>
        <v>1</v>
      </c>
      <c r="C5" s="1" t="s">
        <v>10</v>
      </c>
      <c r="D5" t="b">
        <f>AND(LEN(Tabelle1[[#This Row],[CODE]])&gt;2, LEN(Tabelle1[[#This Row],[CODE]])&lt;7)</f>
        <v>1</v>
      </c>
      <c r="E5" s="1" t="s">
        <v>23</v>
      </c>
      <c r="F5" t="b">
        <f>AND(LEN(Tabelle1[[#This Row],[Headline]]) &gt; 10, LEN(Tabelle1[[#This Row],[Headline]]) &lt; 33)</f>
        <v>0</v>
      </c>
      <c r="G5" s="1" t="s">
        <v>29</v>
      </c>
      <c r="H5">
        <f>LEN(Tabelle1[[#This Row],[Keywords]])-LEN(SUBSTITUTE(Tabelle1[[#This Row],[Keywords]],",",""))+IF(LEN(Tabelle1[[#This Row],[Keywords]])&gt;1, 1, 0)</f>
        <v>2</v>
      </c>
    </row>
    <row r="6" spans="1:8" x14ac:dyDescent="0.3">
      <c r="A6" s="1" t="s">
        <v>17</v>
      </c>
      <c r="B6" t="b">
        <f t="shared" si="0"/>
        <v>1</v>
      </c>
      <c r="C6" s="1" t="s">
        <v>11</v>
      </c>
      <c r="D6" t="b">
        <f>AND(LEN(Tabelle1[[#This Row],[CODE]])&gt;2, LEN(Tabelle1[[#This Row],[CODE]])&lt;7)</f>
        <v>1</v>
      </c>
      <c r="E6" s="1" t="s">
        <v>25</v>
      </c>
      <c r="F6" t="b">
        <f>AND(LEN(Tabelle1[[#This Row],[Headline]]) &gt; 10, LEN(Tabelle1[[#This Row],[Headline]]) &lt; 33)</f>
        <v>1</v>
      </c>
      <c r="G6" s="1" t="s">
        <v>30</v>
      </c>
      <c r="H6">
        <f>LEN(Tabelle1[[#This Row],[Keywords]])-LEN(SUBSTITUTE(Tabelle1[[#This Row],[Keywords]],",",""))+IF(LEN(Tabelle1[[#This Row],[Keywords]])&gt;1, 1, 0)</f>
        <v>3</v>
      </c>
    </row>
    <row r="7" spans="1:8" x14ac:dyDescent="0.3">
      <c r="A7" s="1" t="s">
        <v>18</v>
      </c>
      <c r="B7" t="b">
        <f t="shared" si="0"/>
        <v>1</v>
      </c>
      <c r="C7" s="1" t="s">
        <v>12</v>
      </c>
      <c r="D7" t="b">
        <f>AND(LEN(Tabelle1[[#This Row],[CODE]])&gt;2, LEN(Tabelle1[[#This Row],[CODE]])&lt;7)</f>
        <v>1</v>
      </c>
      <c r="E7" s="1" t="s">
        <v>24</v>
      </c>
      <c r="F7" t="b">
        <f>AND(LEN(Tabelle1[[#This Row],[Headline]]) &gt; 10, LEN(Tabelle1[[#This Row],[Headline]]) &lt; 33)</f>
        <v>1</v>
      </c>
      <c r="G7" s="1" t="s">
        <v>31</v>
      </c>
      <c r="H7">
        <f>LEN(Tabelle1[[#This Row],[Keywords]])-LEN(SUBSTITUTE(Tabelle1[[#This Row],[Keywords]],",",""))+IF(LEN(Tabelle1[[#This Row],[Keywords]])&gt;1, 1, 0)</f>
        <v>1</v>
      </c>
    </row>
  </sheetData>
  <sheetProtection insertColumns="0" insertRows="0" deleteRows="0" sort="0" autoFilter="0" pivotTables="0"/>
  <conditionalFormatting sqref="B2:B7">
    <cfRule type="cellIs" dxfId="8" priority="8" operator="equal">
      <formula>FALSE</formula>
    </cfRule>
    <cfRule type="cellIs" dxfId="7" priority="9" operator="equal">
      <formula>TRUE</formula>
    </cfRule>
  </conditionalFormatting>
  <conditionalFormatting sqref="D2:D7">
    <cfRule type="cellIs" dxfId="6" priority="6" operator="equal">
      <formula>FALSE</formula>
    </cfRule>
    <cfRule type="cellIs" dxfId="5" priority="7" operator="equal">
      <formula>TRUE</formula>
    </cfRule>
  </conditionalFormatting>
  <conditionalFormatting sqref="F2:F7">
    <cfRule type="cellIs" dxfId="4" priority="4" operator="equal">
      <formula>FALSE</formula>
    </cfRule>
    <cfRule type="cellIs" dxfId="3" priority="5" operator="equal">
      <formula>TRUE</formula>
    </cfRule>
  </conditionalFormatting>
  <conditionalFormatting sqref="H2:H7">
    <cfRule type="cellIs" dxfId="2" priority="1" operator="greaterThan">
      <formula>1</formula>
    </cfRule>
    <cfRule type="cellIs" dxfId="1" priority="2" operator="equal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2023-12-29T15:52:26Z</dcterms:modified>
</cp:coreProperties>
</file>